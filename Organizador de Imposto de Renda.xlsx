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tudos e Cursos\Estudos\Analista de Dados\Excel\Projetos\"/>
    </mc:Choice>
  </mc:AlternateContent>
  <xr:revisionPtr revIDLastSave="0" documentId="13_ncr:1_{A78AB932-1C34-4D9E-AF84-558F636DB760}" xr6:coauthVersionLast="47" xr6:coauthVersionMax="47" xr10:uidLastSave="{00000000-0000-0000-0000-000000000000}"/>
  <bookViews>
    <workbookView xWindow="-120" yWindow="-120" windowWidth="29040" windowHeight="15720" xr2:uid="{41C34348-7844-4AC3-A695-B19A3EB3BBBC}"/>
  </bookViews>
  <sheets>
    <sheet name="TITULAR" sheetId="1" r:id="rId1"/>
    <sheet name="INFORMES" sheetId="5" r:id="rId2"/>
    <sheet name="NOTAS" sheetId="6" r:id="rId3"/>
    <sheet name="BANCOS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5" l="1"/>
</calcChain>
</file>

<file path=xl/sharedStrings.xml><?xml version="1.0" encoding="utf-8"?>
<sst xmlns="http://schemas.openxmlformats.org/spreadsheetml/2006/main" count="117" uniqueCount="106">
  <si>
    <t>NOME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</si>
  <si>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</si>
  <si>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</si>
  <si>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</si>
  <si>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</si>
  <si>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</si>
  <si>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</si>
  <si>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</si>
  <si>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</si>
  <si>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</si>
  <si>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</si>
  <si>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</si>
  <si>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</si>
  <si>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</si>
  <si>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</si>
  <si>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</si>
  <si>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>Sim</t>
  </si>
  <si>
    <t>Não</t>
  </si>
  <si>
    <t>teste@gmail.com</t>
  </si>
  <si>
    <t>Aleatório da Fonseca</t>
  </si>
  <si>
    <t>Rua Caldeiras, N 50</t>
  </si>
  <si>
    <t>Jennifer</t>
  </si>
  <si>
    <t>2. Informes de rendimentos bancários</t>
  </si>
  <si>
    <t>Preencha com seus dados atuais de cada banco</t>
  </si>
  <si>
    <t>ANEXO</t>
  </si>
  <si>
    <t>VALOR ATUAL</t>
  </si>
  <si>
    <t>BANCO</t>
  </si>
  <si>
    <t>001 - Banco do Brasil S.A.</t>
  </si>
  <si>
    <t>003 - Banco da Amazônia S.A.</t>
  </si>
  <si>
    <t>004 - Banco do Nordeste do Brasil S.A.</t>
  </si>
  <si>
    <t>012 - Banco Inbursa S.A.</t>
  </si>
  <si>
    <t>017 - BNY Mellon Banco S.A.</t>
  </si>
  <si>
    <t>021 - BANESTES S.A. Banco do Estado do Espírito Santo</t>
  </si>
  <si>
    <t>033 - Banco Santander (Brasil) S.A.</t>
  </si>
  <si>
    <t>041 - Banco do Estado do Rio Grande do Sul S.A. (Banrisul)</t>
  </si>
  <si>
    <t>047 - Banco do Estado de Sergipe S.A. (Banese)</t>
  </si>
  <si>
    <t>063 - Banco Bradescard S.A.</t>
  </si>
  <si>
    <t>065 - Banco Andbank (Brasil) S.A.</t>
  </si>
  <si>
    <t>070 - BRB - Banco de Brasília S.A.</t>
  </si>
  <si>
    <t>074 - Banco J. Safra S.A.</t>
  </si>
  <si>
    <t>077 - Banco Inter S.A.</t>
  </si>
  <si>
    <t>081 - Bancoseguro S.A.</t>
  </si>
  <si>
    <t>082 - Banco Topázio S.A.</t>
  </si>
  <si>
    <t>095 - Banco Travelex S.A.</t>
  </si>
  <si>
    <t>096 - Banco B3 S.A.</t>
  </si>
  <si>
    <t>104 - Caixa Econômica Federal</t>
  </si>
  <si>
    <t>119 - Banco Western Union do Brasil S.A.</t>
  </si>
  <si>
    <t>121 - Banco Agibank S.A.</t>
  </si>
  <si>
    <t>124 - Banco Woori Bank Do Brasil S.A.</t>
  </si>
  <si>
    <t>126 - BR Partners Banco de Investimento S.A.</t>
  </si>
  <si>
    <t>134 - BGC Liquidez DTVM Ltda.</t>
  </si>
  <si>
    <t>144 - Bexs Banco de Câmbio S.A.</t>
  </si>
  <si>
    <t>188 - Ativa Investimentos S.A. CTCV</t>
  </si>
  <si>
    <t>208 - Banco BTG Pactual S.A.</t>
  </si>
  <si>
    <t>212 - Banco Original S.A.</t>
  </si>
  <si>
    <t>213 - Banco Arbi S.A.</t>
  </si>
  <si>
    <t>218 - Banco BS2 S.A.</t>
  </si>
  <si>
    <t>237 - Banco Bradesco S.A.</t>
  </si>
  <si>
    <t>246 - Banco ABC Brasil S.A.</t>
  </si>
  <si>
    <t>250 - BCV - Banco de Crédito e Varejo S.A.</t>
  </si>
  <si>
    <t>253 - Bexs Corretora de Câmbio S/A</t>
  </si>
  <si>
    <t>260 - Nu Pagamentos S.A. (Nubank)</t>
  </si>
  <si>
    <t>268 - Bari Companhia Hipotecária</t>
  </si>
  <si>
    <t>301 - BPP Instituição de Pagamento S.A.</t>
  </si>
  <si>
    <t>318 - Banco BMG S.A.</t>
  </si>
  <si>
    <t>320 - Bank of China (Brasil) Banco Múltiplo S.A.</t>
  </si>
  <si>
    <t>332 - Acesso Soluções de Pagamento S.A. – IP</t>
  </si>
  <si>
    <t>336 - Banco C6 S.A. (C6 Bank)</t>
  </si>
  <si>
    <t>341 - Itaú Unibanco S.A.</t>
  </si>
  <si>
    <t>348 - Banco XP S.A.</t>
  </si>
  <si>
    <t>349 - AL5 S.A. Crédito, Financiamento e Investimento</t>
  </si>
  <si>
    <t>378 - BBC Leasing S.A. - Arrendamento Mercantil</t>
  </si>
  <si>
    <t>389 - Banco Mercantil do Brasil S.A.</t>
  </si>
  <si>
    <t>406 - ACCREDITO - Sociedade de Crédito Direto S.A.</t>
  </si>
  <si>
    <t>408 - Bónuscred Sociedade de Crédito Direto S.A.</t>
  </si>
  <si>
    <t>422 - Banco Safra S.A.</t>
  </si>
  <si>
    <t>461 - Asaas Gestão Financeira IP S.A.</t>
  </si>
  <si>
    <t>464 - Banco Sumitomo Mitsui Brasileiro S.A.</t>
  </si>
  <si>
    <t>477 - Citibank N.A.</t>
  </si>
  <si>
    <t>505 - Banco UBS (Brasil) S.A.</t>
  </si>
  <si>
    <t>508 - Avenue Securities DTVM Ltda.</t>
  </si>
  <si>
    <t>513 - ATF Credit Sociedade de Crédito Direto S.A.</t>
  </si>
  <si>
    <t>527 - ATICCA - Sociedade de Crédito Direto S.A.</t>
  </si>
  <si>
    <t>610 - Banco VR S.A.</t>
  </si>
  <si>
    <t>634 - Banco Triângulo S.A. (Tribanco)</t>
  </si>
  <si>
    <t>655 - Banco Votorantim S.A. (banco BV)</t>
  </si>
  <si>
    <t>745 - Banco Citibank S.A.</t>
  </si>
  <si>
    <t>748 - Banco Cooperativo Sicredi S.A.</t>
  </si>
  <si>
    <t>755 - Bank of America Merrill Lynch Banco Múltiplo S.A.</t>
  </si>
  <si>
    <t>756 - Banco Cooperativo do Brasil S.A. (Sicoob)</t>
  </si>
  <si>
    <t>BANCOS</t>
  </si>
  <si>
    <t>1º Banco</t>
  </si>
  <si>
    <t>TOTAL</t>
  </si>
  <si>
    <t>3º Banco</t>
  </si>
  <si>
    <t>2º Banco</t>
  </si>
  <si>
    <t>São todos os valores de entrada mês a mês de receita</t>
  </si>
  <si>
    <t>DATA</t>
  </si>
  <si>
    <t>CATEGORIA</t>
  </si>
  <si>
    <t>VALOR</t>
  </si>
  <si>
    <t>ENTRADAS</t>
  </si>
  <si>
    <t>13/10/2026</t>
  </si>
  <si>
    <t>3. Notas bancárias ou extrato de holerites</t>
  </si>
  <si>
    <t>anexo3.pdf</t>
  </si>
  <si>
    <t>anexo2.pdf</t>
  </si>
  <si>
    <t>anexo.pdf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</si>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</sst>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5" formatCode="000&quot;.&quot;000&quot;.&quot;000&quot;-&quot;00"/>
    <numFmt numFmtId="176" formatCode="00000\-000"/>
    <numFmt numFmtId="177" formatCode="&quot;(&quot;00&quot;)&quot;0000&quot;-&quot;0000"/>
    <numFmt numFmtId="178" formatCode="&quot;(&quot;00&quot;)&quot;00000&quot;-&quot;0000"/>
    <numFmt numFmtId="179" formatCode="dd/mm/yyyy;@"/>
    <numFmt numFmtId="183" formatCode="[$R$-416]\ #,##0.00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5"/>
      <name val="Segoe UI Black"/>
      <family val="2"/>
    </font>
    <font>
      <b/>
      <i/>
      <sz val="11"/>
      <color theme="0"/>
      <name val="Aptos Narrow"/>
      <family val="2"/>
      <scheme val="minor"/>
    </font>
    <font>
      <sz val="10"/>
      <color theme="1"/>
      <name val="Segoe UI Black"/>
      <family val="2"/>
    </font>
    <font>
      <b/>
      <sz val="11"/>
      <color theme="0"/>
      <name val="Segoe UI Black"/>
      <family val="2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u/>
      <sz val="11"/>
      <color theme="10"/>
      <name val="Segoe UI"/>
      <family val="2"/>
    </font>
    <font>
      <b/>
      <sz val="12"/>
      <color theme="0"/>
      <name val="Lucida Fax"/>
      <family val="1"/>
    </font>
  </fonts>
  <fills count="4">
    <fill>
      <patternFill patternType="none"/>
    </fill>
    <fill>
      <patternFill patternType="gray125"/>
    </fill>
    <fill>
      <patternFill patternType="solid">
        <fgColor rgb="FF383838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</borders>
  <cellStyleXfs count="3">
    <xf numFmtId="0" fontId="0" fillId="0" borderId="0"/>
    <xf numFmtId="0" fontId="1" fillId="0" borderId="4" applyNumberFormat="0" applyFill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4" fillId="0" borderId="0" xfId="2"/>
    <xf numFmtId="0" fontId="0" fillId="3" borderId="2" xfId="0" applyFill="1" applyBorder="1"/>
    <xf numFmtId="0" fontId="1" fillId="0" borderId="4" xfId="1"/>
    <xf numFmtId="0" fontId="6" fillId="0" borderId="4" xfId="1" applyFont="1"/>
    <xf numFmtId="0" fontId="7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8" fillId="0" borderId="0" xfId="0" applyFont="1"/>
    <xf numFmtId="0" fontId="10" fillId="0" borderId="3" xfId="0" applyFont="1" applyBorder="1"/>
    <xf numFmtId="0" fontId="3" fillId="0" borderId="0" xfId="0" applyFont="1"/>
    <xf numFmtId="183" fontId="13" fillId="3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1" fillId="3" borderId="3" xfId="0" applyFont="1" applyFill="1" applyBorder="1" applyProtection="1">
      <protection locked="0"/>
    </xf>
    <xf numFmtId="175" fontId="11" fillId="3" borderId="3" xfId="0" applyNumberFormat="1" applyFont="1" applyFill="1" applyBorder="1" applyAlignment="1" applyProtection="1">
      <alignment horizontal="left"/>
      <protection locked="0"/>
    </xf>
    <xf numFmtId="179" fontId="11" fillId="3" borderId="3" xfId="0" applyNumberFormat="1" applyFont="1" applyFill="1" applyBorder="1" applyAlignment="1" applyProtection="1">
      <alignment horizontal="left"/>
      <protection locked="0"/>
    </xf>
    <xf numFmtId="0" fontId="11" fillId="3" borderId="3" xfId="0" applyFont="1" applyFill="1" applyBorder="1" applyAlignment="1" applyProtection="1">
      <alignment horizontal="left"/>
      <protection locked="0"/>
    </xf>
    <xf numFmtId="176" fontId="11" fillId="3" borderId="3" xfId="0" applyNumberFormat="1" applyFont="1" applyFill="1" applyBorder="1" applyAlignment="1" applyProtection="1">
      <alignment horizontal="left"/>
      <protection locked="0"/>
    </xf>
    <xf numFmtId="177" fontId="11" fillId="3" borderId="3" xfId="0" applyNumberFormat="1" applyFont="1" applyFill="1" applyBorder="1" applyAlignment="1" applyProtection="1">
      <alignment horizontal="left"/>
      <protection locked="0"/>
    </xf>
    <xf numFmtId="178" fontId="11" fillId="3" borderId="3" xfId="0" applyNumberFormat="1" applyFont="1" applyFill="1" applyBorder="1" applyAlignment="1" applyProtection="1">
      <alignment horizontal="left"/>
      <protection locked="0"/>
    </xf>
    <xf numFmtId="0" fontId="12" fillId="3" borderId="3" xfId="2" applyFont="1" applyFill="1" applyBorder="1" applyProtection="1">
      <protection locked="0"/>
    </xf>
    <xf numFmtId="183" fontId="11" fillId="3" borderId="3" xfId="0" applyNumberFormat="1" applyFont="1" applyFill="1" applyBorder="1" applyAlignment="1" applyProtection="1">
      <alignment horizontal="left"/>
      <protection locked="0"/>
    </xf>
    <xf numFmtId="14" fontId="10" fillId="0" borderId="0" xfId="0" applyNumberFormat="1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183" fontId="10" fillId="0" borderId="0" xfId="0" applyNumberFormat="1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</cellXfs>
  <cellStyles count="3">
    <cellStyle name="Hiperlink" xfId="2" builtinId="8"/>
    <cellStyle name="Normal" xfId="0" builtinId="0"/>
    <cellStyle name="Título 1" xfId="1" builtinId="16" customBuiltin="1"/>
  </cellStyles>
  <dxfs count="5">
    <dxf>
      <protection locked="0" hidden="0"/>
    </dxf>
    <dxf>
      <numFmt numFmtId="183" formatCode="[$R$-416]\ #,##0.00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83838"/>
      <color rgb="FFBE3BFF"/>
      <color rgb="FFD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B5"/><Relationship Id="rId2" Type="http://schemas.openxmlformats.org/officeDocument/2006/relationships/hyperlink" Target="#NOTAS!B5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raphaelfernandesbr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B5"/><Relationship Id="rId7" Type="http://schemas.openxmlformats.org/officeDocument/2006/relationships/hyperlink" Target="#NOTAS!A1"/><Relationship Id="rId2" Type="http://schemas.openxmlformats.org/officeDocument/2006/relationships/hyperlink" Target="#TITULAR!B5"/><Relationship Id="rId1" Type="http://schemas.openxmlformats.org/officeDocument/2006/relationships/image" Target="../media/image1.png"/><Relationship Id="rId6" Type="http://schemas.openxmlformats.org/officeDocument/2006/relationships/hyperlink" Target="#TITULAR!A1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raphaelfernandesbr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B5"/><Relationship Id="rId2" Type="http://schemas.openxmlformats.org/officeDocument/2006/relationships/hyperlink" Target="#TITULAR!B5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raphaelfernandes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304433</xdr:colOff>
      <xdr:row>2</xdr:row>
      <xdr:rowOff>142876</xdr:rowOff>
    </xdr:from>
    <xdr:to>
      <xdr:col>0</xdr:col>
      <xdr:colOff>1514841</xdr:colOff>
      <xdr:row>7</xdr:row>
      <xdr:rowOff>161926</xdr:rowOff>
    </xdr:to>
    <xdr:pic>
      <xdr:nvPicPr>
        <xdr:cNvPr id="2" name="Imagem 1" descr="Vulture Icons - Free SVG &amp; PNG Vulture Images - Noun Project">
          <a:extLst>
            <a:ext uri="{FF2B5EF4-FFF2-40B4-BE49-F238E27FC236}">
              <a16:creationId xmlns:a16="http://schemas.microsoft.com/office/drawing/2014/main" id="{D23C9827-270B-9AB6-B740-2085E5A58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433" y="523876"/>
          <a:ext cx="1210408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104775</xdr:colOff>
      <xdr:row>0</xdr:row>
      <xdr:rowOff>104775</xdr:rowOff>
    </xdr:from>
    <xdr:to>
      <xdr:col>0</xdr:col>
      <xdr:colOff>1714500</xdr:colOff>
      <xdr:row>2</xdr:row>
      <xdr:rowOff>152400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FBC2CD1-6FBB-D8A6-C37C-F1CD145CDDD5}"/>
            </a:ext>
          </a:extLst>
        </xdr:cNvPr>
        <xdr:cNvSpPr/>
      </xdr:nvSpPr>
      <xdr:spPr>
        <a:xfrm>
          <a:off x="104775" y="104775"/>
          <a:ext cx="1609725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ln>
                <a:solidFill>
                  <a:schemeClr val="tx1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VULTURE</a:t>
          </a:r>
          <a:r>
            <a:rPr lang="pt-BR" sz="1600" b="1" baseline="0">
              <a:ln>
                <a:solidFill>
                  <a:schemeClr val="tx1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 </a:t>
          </a:r>
          <a:r>
            <a:rPr lang="pt-BR" sz="1100" b="1" baseline="0">
              <a:ln>
                <a:solidFill>
                  <a:schemeClr val="tx1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APP</a:t>
          </a:r>
          <a:endParaRPr lang="pt-BR" sz="1600" b="1">
            <a:ln>
              <a:solidFill>
                <a:schemeClr val="tx1"/>
              </a:solidFill>
            </a:ln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136969</xdr:colOff>
      <xdr:row>9</xdr:row>
      <xdr:rowOff>161924</xdr:rowOff>
    </xdr:from>
    <xdr:to>
      <xdr:col>0</xdr:col>
      <xdr:colOff>1682305</xdr:colOff>
      <xdr:row>12</xdr:row>
      <xdr:rowOff>171449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BDC6D6E5-81D6-E521-1AD1-4BF97649C920}"/>
            </a:ext>
          </a:extLst>
        </xdr:cNvPr>
        <xdr:cNvSpPr/>
      </xdr:nvSpPr>
      <xdr:spPr>
        <a:xfrm>
          <a:off x="136969" y="2066924"/>
          <a:ext cx="1545336" cy="638175"/>
        </a:xfrm>
        <a:prstGeom prst="roundRect">
          <a:avLst>
            <a:gd name="adj" fmla="val 39055"/>
          </a:avLst>
        </a:prstGeom>
        <a:solidFill>
          <a:srgbClr val="383838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ln>
                <a:solidFill>
                  <a:schemeClr val="tx1"/>
                </a:solidFill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136969</xdr:colOff>
      <xdr:row>17</xdr:row>
      <xdr:rowOff>66675</xdr:rowOff>
    </xdr:from>
    <xdr:to>
      <xdr:col>0</xdr:col>
      <xdr:colOff>1682305</xdr:colOff>
      <xdr:row>20</xdr:row>
      <xdr:rowOff>76200</xdr:rowOff>
    </xdr:to>
    <xdr:sp macro="" textlink="">
      <xdr:nvSpPr>
        <xdr:cNvPr id="18" name="Retângulo: Cantos Arredondados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26D826-6B26-4417-9A2A-BA6B2543CFE8}"/>
            </a:ext>
          </a:extLst>
        </xdr:cNvPr>
        <xdr:cNvSpPr/>
      </xdr:nvSpPr>
      <xdr:spPr>
        <a:xfrm>
          <a:off x="136969" y="3648075"/>
          <a:ext cx="1545336" cy="638175"/>
        </a:xfrm>
        <a:prstGeom prst="roundRect">
          <a:avLst>
            <a:gd name="adj" fmla="val 3905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ln>
                <a:solidFill>
                  <a:schemeClr val="tx1"/>
                </a:solidFill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138589</xdr:colOff>
      <xdr:row>13</xdr:row>
      <xdr:rowOff>114300</xdr:rowOff>
    </xdr:from>
    <xdr:to>
      <xdr:col>0</xdr:col>
      <xdr:colOff>1680686</xdr:colOff>
      <xdr:row>16</xdr:row>
      <xdr:rowOff>123825</xdr:rowOff>
    </xdr:to>
    <xdr:sp macro="" textlink="">
      <xdr:nvSpPr>
        <xdr:cNvPr id="19" name="Retângulo: Cantos Arredondados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8B83B3-0BDA-4DC1-8B1A-CD08F4C4AD84}"/>
            </a:ext>
          </a:extLst>
        </xdr:cNvPr>
        <xdr:cNvSpPr/>
      </xdr:nvSpPr>
      <xdr:spPr>
        <a:xfrm>
          <a:off x="138589" y="2857500"/>
          <a:ext cx="1542097" cy="638175"/>
        </a:xfrm>
        <a:prstGeom prst="roundRect">
          <a:avLst>
            <a:gd name="adj" fmla="val 3905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ln>
                <a:solidFill>
                  <a:schemeClr val="tx1"/>
                </a:solidFill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0</xdr:colOff>
      <xdr:row>22</xdr:row>
      <xdr:rowOff>133350</xdr:rowOff>
    </xdr:from>
    <xdr:to>
      <xdr:col>1</xdr:col>
      <xdr:colOff>0</xdr:colOff>
      <xdr:row>25</xdr:row>
      <xdr:rowOff>47625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B6E3F483-1399-050B-6EDB-CCAD33C32DA9}"/>
            </a:ext>
          </a:extLst>
        </xdr:cNvPr>
        <xdr:cNvSpPr/>
      </xdr:nvSpPr>
      <xdr:spPr>
        <a:xfrm>
          <a:off x="0" y="4724400"/>
          <a:ext cx="181927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SYSTEM BY RAPHAEL</a:t>
          </a:r>
        </a:p>
      </xdr:txBody>
    </xdr:sp>
    <xdr:clientData/>
  </xdr:twoCellAnchor>
  <xdr:twoCellAnchor editAs="absolute">
    <xdr:from>
      <xdr:col>0</xdr:col>
      <xdr:colOff>247650</xdr:colOff>
      <xdr:row>22</xdr:row>
      <xdr:rowOff>28575</xdr:rowOff>
    </xdr:from>
    <xdr:to>
      <xdr:col>0</xdr:col>
      <xdr:colOff>1571625</xdr:colOff>
      <xdr:row>22</xdr:row>
      <xdr:rowOff>38100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4966529F-6E18-DE30-A2E3-3C9C6E63C22F}"/>
            </a:ext>
          </a:extLst>
        </xdr:cNvPr>
        <xdr:cNvCxnSpPr/>
      </xdr:nvCxnSpPr>
      <xdr:spPr>
        <a:xfrm>
          <a:off x="247650" y="4619625"/>
          <a:ext cx="1323975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666750</xdr:colOff>
      <xdr:row>26</xdr:row>
      <xdr:rowOff>38100</xdr:rowOff>
    </xdr:from>
    <xdr:to>
      <xdr:col>0</xdr:col>
      <xdr:colOff>1152525</xdr:colOff>
      <xdr:row>28</xdr:row>
      <xdr:rowOff>142875</xdr:rowOff>
    </xdr:to>
    <xdr:pic>
      <xdr:nvPicPr>
        <xdr:cNvPr id="29" name="Imagem 2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7D0BD6-2D69-1AF2-B45F-3B30CF680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3911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21</xdr:row>
      <xdr:rowOff>9525</xdr:rowOff>
    </xdr:from>
    <xdr:to>
      <xdr:col>4</xdr:col>
      <xdr:colOff>19050</xdr:colOff>
      <xdr:row>23</xdr:row>
      <xdr:rowOff>76200</xdr:rowOff>
    </xdr:to>
    <xdr:sp macro="" textlink="">
      <xdr:nvSpPr>
        <xdr:cNvPr id="30" name="Retângulo: Cantos Arredondados 2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6998F60-44D9-75BE-61B1-41AA432A0D00}"/>
            </a:ext>
          </a:extLst>
        </xdr:cNvPr>
        <xdr:cNvSpPr/>
      </xdr:nvSpPr>
      <xdr:spPr>
        <a:xfrm>
          <a:off x="5686425" y="4410075"/>
          <a:ext cx="3371850" cy="447675"/>
        </a:xfrm>
        <a:prstGeom prst="roundRect">
          <a:avLst/>
        </a:prstGeom>
        <a:solidFill>
          <a:srgbClr val="383838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n>
                <a:solidFill>
                  <a:sysClr val="windowText" lastClr="000000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PRÓXIMO -&gt;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304433</xdr:colOff>
      <xdr:row>2</xdr:row>
      <xdr:rowOff>142876</xdr:rowOff>
    </xdr:from>
    <xdr:to>
      <xdr:col>0</xdr:col>
      <xdr:colOff>1514841</xdr:colOff>
      <xdr:row>7</xdr:row>
      <xdr:rowOff>85726</xdr:rowOff>
    </xdr:to>
    <xdr:pic>
      <xdr:nvPicPr>
        <xdr:cNvPr id="2" name="Imagem 1" descr="Vulture Icons - Free SVG &amp; PNG Vulture Images - Noun Project">
          <a:extLst>
            <a:ext uri="{FF2B5EF4-FFF2-40B4-BE49-F238E27FC236}">
              <a16:creationId xmlns:a16="http://schemas.microsoft.com/office/drawing/2014/main" id="{04E18F76-4ACF-406A-B66D-D3310C072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433" y="523876"/>
          <a:ext cx="1210408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104775</xdr:colOff>
      <xdr:row>0</xdr:row>
      <xdr:rowOff>104775</xdr:rowOff>
    </xdr:from>
    <xdr:to>
      <xdr:col>0</xdr:col>
      <xdr:colOff>1714500</xdr:colOff>
      <xdr:row>2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76D68BD-61D1-4160-8B79-DC49FE1F803A}"/>
            </a:ext>
          </a:extLst>
        </xdr:cNvPr>
        <xdr:cNvSpPr/>
      </xdr:nvSpPr>
      <xdr:spPr>
        <a:xfrm>
          <a:off x="104775" y="104775"/>
          <a:ext cx="1609725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ln>
                <a:solidFill>
                  <a:schemeClr val="tx1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VULTURE</a:t>
          </a:r>
          <a:r>
            <a:rPr lang="pt-BR" sz="1600" b="1" baseline="0">
              <a:ln>
                <a:solidFill>
                  <a:schemeClr val="tx1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 </a:t>
          </a:r>
          <a:r>
            <a:rPr lang="pt-BR" sz="1100" b="1" baseline="0">
              <a:ln>
                <a:solidFill>
                  <a:schemeClr val="tx1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APP</a:t>
          </a:r>
          <a:endParaRPr lang="pt-BR" sz="1600" b="1">
            <a:ln>
              <a:solidFill>
                <a:schemeClr val="tx1"/>
              </a:solidFill>
            </a:ln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136969</xdr:colOff>
      <xdr:row>9</xdr:row>
      <xdr:rowOff>123824</xdr:rowOff>
    </xdr:from>
    <xdr:to>
      <xdr:col>0</xdr:col>
      <xdr:colOff>1682305</xdr:colOff>
      <xdr:row>12</xdr:row>
      <xdr:rowOff>133349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E45B12-D684-49F3-9F46-8A35E606789E}"/>
            </a:ext>
          </a:extLst>
        </xdr:cNvPr>
        <xdr:cNvSpPr/>
      </xdr:nvSpPr>
      <xdr:spPr>
        <a:xfrm>
          <a:off x="136969" y="2066924"/>
          <a:ext cx="1545336" cy="638175"/>
        </a:xfrm>
        <a:prstGeom prst="roundRect">
          <a:avLst>
            <a:gd name="adj" fmla="val 3905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ln>
                <a:solidFill>
                  <a:schemeClr val="tx1"/>
                </a:solidFill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136969</xdr:colOff>
      <xdr:row>17</xdr:row>
      <xdr:rowOff>85725</xdr:rowOff>
    </xdr:from>
    <xdr:to>
      <xdr:col>0</xdr:col>
      <xdr:colOff>1682305</xdr:colOff>
      <xdr:row>20</xdr:row>
      <xdr:rowOff>133350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B930D3A-2D2A-428A-BF5A-9B6BBFDFB70C}"/>
            </a:ext>
          </a:extLst>
        </xdr:cNvPr>
        <xdr:cNvSpPr/>
      </xdr:nvSpPr>
      <xdr:spPr>
        <a:xfrm>
          <a:off x="136969" y="3648075"/>
          <a:ext cx="1545336" cy="638175"/>
        </a:xfrm>
        <a:prstGeom prst="roundRect">
          <a:avLst>
            <a:gd name="adj" fmla="val 3905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ln>
                <a:solidFill>
                  <a:schemeClr val="tx1"/>
                </a:solidFill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138589</xdr:colOff>
      <xdr:row>13</xdr:row>
      <xdr:rowOff>95250</xdr:rowOff>
    </xdr:from>
    <xdr:to>
      <xdr:col>0</xdr:col>
      <xdr:colOff>1680686</xdr:colOff>
      <xdr:row>16</xdr:row>
      <xdr:rowOff>142875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2DF1160B-99F6-44F1-ACE2-82B26EC648C3}"/>
            </a:ext>
          </a:extLst>
        </xdr:cNvPr>
        <xdr:cNvSpPr/>
      </xdr:nvSpPr>
      <xdr:spPr>
        <a:xfrm>
          <a:off x="138589" y="2857500"/>
          <a:ext cx="1542097" cy="638175"/>
        </a:xfrm>
        <a:prstGeom prst="roundRect">
          <a:avLst>
            <a:gd name="adj" fmla="val 39055"/>
          </a:avLst>
        </a:prstGeom>
        <a:solidFill>
          <a:srgbClr val="383838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ln>
                <a:solidFill>
                  <a:schemeClr val="tx1"/>
                </a:solidFill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0</xdr:colOff>
      <xdr:row>22</xdr:row>
      <xdr:rowOff>171450</xdr:rowOff>
    </xdr:from>
    <xdr:to>
      <xdr:col>1</xdr:col>
      <xdr:colOff>0</xdr:colOff>
      <xdr:row>25</xdr:row>
      <xdr:rowOff>47625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6F30BB5-B933-4D99-8E70-C3F80FB2A7D6}"/>
            </a:ext>
          </a:extLst>
        </xdr:cNvPr>
        <xdr:cNvSpPr/>
      </xdr:nvSpPr>
      <xdr:spPr>
        <a:xfrm>
          <a:off x="0" y="4724400"/>
          <a:ext cx="181927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SYSTEM BY RAPHAEL</a:t>
          </a:r>
        </a:p>
      </xdr:txBody>
    </xdr:sp>
    <xdr:clientData/>
  </xdr:twoCellAnchor>
  <xdr:twoCellAnchor editAs="absolute">
    <xdr:from>
      <xdr:col>0</xdr:col>
      <xdr:colOff>247650</xdr:colOff>
      <xdr:row>22</xdr:row>
      <xdr:rowOff>66675</xdr:rowOff>
    </xdr:from>
    <xdr:to>
      <xdr:col>0</xdr:col>
      <xdr:colOff>1571625</xdr:colOff>
      <xdr:row>22</xdr:row>
      <xdr:rowOff>76200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3D40074-030E-4DAE-BA0B-3904CA97D290}"/>
            </a:ext>
          </a:extLst>
        </xdr:cNvPr>
        <xdr:cNvCxnSpPr/>
      </xdr:nvCxnSpPr>
      <xdr:spPr>
        <a:xfrm>
          <a:off x="247650" y="4619625"/>
          <a:ext cx="1323975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666750</xdr:colOff>
      <xdr:row>26</xdr:row>
      <xdr:rowOff>38100</xdr:rowOff>
    </xdr:from>
    <xdr:to>
      <xdr:col>0</xdr:col>
      <xdr:colOff>1152525</xdr:colOff>
      <xdr:row>28</xdr:row>
      <xdr:rowOff>142875</xdr:rowOff>
    </xdr:to>
    <xdr:pic>
      <xdr:nvPicPr>
        <xdr:cNvPr id="9" name="Imagem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892B320-A1B4-451C-A111-5099D87A9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3911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25</xdr:row>
      <xdr:rowOff>0</xdr:rowOff>
    </xdr:from>
    <xdr:to>
      <xdr:col>4</xdr:col>
      <xdr:colOff>19050</xdr:colOff>
      <xdr:row>27</xdr:row>
      <xdr:rowOff>66675</xdr:rowOff>
    </xdr:to>
    <xdr:sp macro="" textlink="">
      <xdr:nvSpPr>
        <xdr:cNvPr id="10" name="Retângulo: Cantos Arredondado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40BB510-FB61-4E63-ADD6-2AE98AD71AF7}"/>
            </a:ext>
          </a:extLst>
        </xdr:cNvPr>
        <xdr:cNvSpPr/>
      </xdr:nvSpPr>
      <xdr:spPr>
        <a:xfrm>
          <a:off x="5686425" y="5162550"/>
          <a:ext cx="3371850" cy="447675"/>
        </a:xfrm>
        <a:prstGeom prst="roundRect">
          <a:avLst/>
        </a:prstGeom>
        <a:solidFill>
          <a:srgbClr val="383838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n>
                <a:solidFill>
                  <a:sysClr val="windowText" lastClr="000000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&lt;-</a:t>
          </a:r>
          <a:r>
            <a:rPr lang="pt-BR" sz="1400" b="1" baseline="0">
              <a:ln>
                <a:solidFill>
                  <a:sysClr val="windowText" lastClr="000000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 ANTERIOR</a:t>
          </a:r>
          <a:r>
            <a:rPr lang="pt-BR" sz="1400" b="1">
              <a:ln>
                <a:solidFill>
                  <a:sysClr val="windowText" lastClr="000000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 </a:t>
          </a:r>
        </a:p>
      </xdr:txBody>
    </xdr:sp>
    <xdr:clientData/>
  </xdr:twoCellAnchor>
  <xdr:twoCellAnchor editAs="absolute">
    <xdr:from>
      <xdr:col>3</xdr:col>
      <xdr:colOff>0</xdr:colOff>
      <xdr:row>28</xdr:row>
      <xdr:rowOff>0</xdr:rowOff>
    </xdr:from>
    <xdr:to>
      <xdr:col>4</xdr:col>
      <xdr:colOff>19050</xdr:colOff>
      <xdr:row>30</xdr:row>
      <xdr:rowOff>66675</xdr:rowOff>
    </xdr:to>
    <xdr:sp macro="" textlink="">
      <xdr:nvSpPr>
        <xdr:cNvPr id="11" name="Retângulo: Cantos Arredondado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319B23-241D-4F0D-9355-4241AE37803A}"/>
            </a:ext>
          </a:extLst>
        </xdr:cNvPr>
        <xdr:cNvSpPr/>
      </xdr:nvSpPr>
      <xdr:spPr>
        <a:xfrm>
          <a:off x="5686425" y="5734050"/>
          <a:ext cx="3371850" cy="447675"/>
        </a:xfrm>
        <a:prstGeom prst="roundRect">
          <a:avLst/>
        </a:prstGeom>
        <a:solidFill>
          <a:srgbClr val="383838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n>
                <a:solidFill>
                  <a:sysClr val="windowText" lastClr="000000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PRÓXIMO</a:t>
          </a:r>
          <a:r>
            <a:rPr lang="pt-BR" sz="1400" b="1" baseline="0">
              <a:ln>
                <a:solidFill>
                  <a:sysClr val="windowText" lastClr="000000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 -&gt;</a:t>
          </a:r>
          <a:endParaRPr lang="pt-BR" sz="1400" b="1">
            <a:ln>
              <a:solidFill>
                <a:sysClr val="windowText" lastClr="000000"/>
              </a:solidFill>
            </a:ln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304433</xdr:colOff>
      <xdr:row>2</xdr:row>
      <xdr:rowOff>142876</xdr:rowOff>
    </xdr:from>
    <xdr:to>
      <xdr:col>0</xdr:col>
      <xdr:colOff>1514841</xdr:colOff>
      <xdr:row>7</xdr:row>
      <xdr:rowOff>142876</xdr:rowOff>
    </xdr:to>
    <xdr:pic>
      <xdr:nvPicPr>
        <xdr:cNvPr id="2" name="Imagem 1" descr="Vulture Icons - Free SVG &amp; PNG Vulture Images - Noun Project">
          <a:extLst>
            <a:ext uri="{FF2B5EF4-FFF2-40B4-BE49-F238E27FC236}">
              <a16:creationId xmlns:a16="http://schemas.microsoft.com/office/drawing/2014/main" id="{C0ADC83D-6AD1-411A-AA34-7638400CF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433" y="523876"/>
          <a:ext cx="1210408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104775</xdr:colOff>
      <xdr:row>0</xdr:row>
      <xdr:rowOff>104775</xdr:rowOff>
    </xdr:from>
    <xdr:to>
      <xdr:col>0</xdr:col>
      <xdr:colOff>1714500</xdr:colOff>
      <xdr:row>2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9C7A916-8EBC-40BA-A56C-ED5F1E4246D5}"/>
            </a:ext>
          </a:extLst>
        </xdr:cNvPr>
        <xdr:cNvSpPr/>
      </xdr:nvSpPr>
      <xdr:spPr>
        <a:xfrm>
          <a:off x="104775" y="104775"/>
          <a:ext cx="1609725" cy="428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ln>
                <a:solidFill>
                  <a:schemeClr val="tx1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VULTURE</a:t>
          </a:r>
          <a:r>
            <a:rPr lang="pt-BR" sz="1600" b="1" baseline="0">
              <a:ln>
                <a:solidFill>
                  <a:schemeClr val="tx1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 </a:t>
          </a:r>
          <a:r>
            <a:rPr lang="pt-BR" sz="1100" b="1" baseline="0">
              <a:ln>
                <a:solidFill>
                  <a:schemeClr val="tx1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APP</a:t>
          </a:r>
          <a:endParaRPr lang="pt-BR" sz="1600" b="1">
            <a:ln>
              <a:solidFill>
                <a:schemeClr val="tx1"/>
              </a:solidFill>
            </a:ln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136969</xdr:colOff>
      <xdr:row>9</xdr:row>
      <xdr:rowOff>142874</xdr:rowOff>
    </xdr:from>
    <xdr:to>
      <xdr:col>0</xdr:col>
      <xdr:colOff>1682305</xdr:colOff>
      <xdr:row>12</xdr:row>
      <xdr:rowOff>152399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BAA4C6-E105-43C4-96BE-10DCF2482613}"/>
            </a:ext>
          </a:extLst>
        </xdr:cNvPr>
        <xdr:cNvSpPr/>
      </xdr:nvSpPr>
      <xdr:spPr>
        <a:xfrm>
          <a:off x="136969" y="2066924"/>
          <a:ext cx="1545336" cy="638175"/>
        </a:xfrm>
        <a:prstGeom prst="roundRect">
          <a:avLst>
            <a:gd name="adj" fmla="val 3905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ln>
                <a:solidFill>
                  <a:schemeClr val="tx1"/>
                </a:solidFill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136969</xdr:colOff>
      <xdr:row>17</xdr:row>
      <xdr:rowOff>47625</xdr:rowOff>
    </xdr:from>
    <xdr:to>
      <xdr:col>0</xdr:col>
      <xdr:colOff>1682305</xdr:colOff>
      <xdr:row>20</xdr:row>
      <xdr:rowOff>57150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72D82804-AAFD-4775-BFD1-61A7DAA32E3B}"/>
            </a:ext>
          </a:extLst>
        </xdr:cNvPr>
        <xdr:cNvSpPr/>
      </xdr:nvSpPr>
      <xdr:spPr>
        <a:xfrm>
          <a:off x="136969" y="3648075"/>
          <a:ext cx="1545336" cy="638175"/>
        </a:xfrm>
        <a:prstGeom prst="roundRect">
          <a:avLst>
            <a:gd name="adj" fmla="val 39055"/>
          </a:avLst>
        </a:prstGeom>
        <a:solidFill>
          <a:srgbClr val="383838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ln>
                <a:solidFill>
                  <a:schemeClr val="tx1"/>
                </a:solidFill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138589</xdr:colOff>
      <xdr:row>13</xdr:row>
      <xdr:rowOff>95250</xdr:rowOff>
    </xdr:from>
    <xdr:to>
      <xdr:col>0</xdr:col>
      <xdr:colOff>1680686</xdr:colOff>
      <xdr:row>16</xdr:row>
      <xdr:rowOff>104775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BFDE8C-C212-45BB-B9BA-845F11E0F258}"/>
            </a:ext>
          </a:extLst>
        </xdr:cNvPr>
        <xdr:cNvSpPr/>
      </xdr:nvSpPr>
      <xdr:spPr>
        <a:xfrm>
          <a:off x="138589" y="2857500"/>
          <a:ext cx="1542097" cy="638175"/>
        </a:xfrm>
        <a:prstGeom prst="roundRect">
          <a:avLst>
            <a:gd name="adj" fmla="val 3905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ln>
                <a:solidFill>
                  <a:schemeClr val="tx1"/>
                </a:solidFill>
              </a:ln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0</xdr:colOff>
      <xdr:row>22</xdr:row>
      <xdr:rowOff>76200</xdr:rowOff>
    </xdr:from>
    <xdr:to>
      <xdr:col>1</xdr:col>
      <xdr:colOff>0</xdr:colOff>
      <xdr:row>24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850CBB0-1A42-4499-8729-D3364E108319}"/>
            </a:ext>
          </a:extLst>
        </xdr:cNvPr>
        <xdr:cNvSpPr/>
      </xdr:nvSpPr>
      <xdr:spPr>
        <a:xfrm>
          <a:off x="0" y="4724400"/>
          <a:ext cx="181927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SYSTEM BY RAPHAEL</a:t>
          </a:r>
        </a:p>
      </xdr:txBody>
    </xdr:sp>
    <xdr:clientData/>
  </xdr:twoCellAnchor>
  <xdr:twoCellAnchor editAs="absolute">
    <xdr:from>
      <xdr:col>0</xdr:col>
      <xdr:colOff>247650</xdr:colOff>
      <xdr:row>21</xdr:row>
      <xdr:rowOff>180975</xdr:rowOff>
    </xdr:from>
    <xdr:to>
      <xdr:col>0</xdr:col>
      <xdr:colOff>1571625</xdr:colOff>
      <xdr:row>21</xdr:row>
      <xdr:rowOff>190500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7B897D0-47F3-466A-BBCA-9F8D76DE4F65}"/>
            </a:ext>
          </a:extLst>
        </xdr:cNvPr>
        <xdr:cNvCxnSpPr/>
      </xdr:nvCxnSpPr>
      <xdr:spPr>
        <a:xfrm>
          <a:off x="247650" y="4619625"/>
          <a:ext cx="1323975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666750</xdr:colOff>
      <xdr:row>25</xdr:row>
      <xdr:rowOff>152400</xdr:rowOff>
    </xdr:from>
    <xdr:to>
      <xdr:col>0</xdr:col>
      <xdr:colOff>1152525</xdr:colOff>
      <xdr:row>28</xdr:row>
      <xdr:rowOff>66675</xdr:rowOff>
    </xdr:to>
    <xdr:pic>
      <xdr:nvPicPr>
        <xdr:cNvPr id="9" name="Imagem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699A7D-596E-4923-965C-2D4E3C5D4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3911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9525</xdr:colOff>
      <xdr:row>4</xdr:row>
      <xdr:rowOff>28575</xdr:rowOff>
    </xdr:from>
    <xdr:to>
      <xdr:col>2</xdr:col>
      <xdr:colOff>1485900</xdr:colOff>
      <xdr:row>5</xdr:row>
      <xdr:rowOff>152400</xdr:rowOff>
    </xdr:to>
    <xdr:sp macro="" textlink="">
      <xdr:nvSpPr>
        <xdr:cNvPr id="10" name="Retângulo: Cantos Arredondado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75072AB-33BA-4DC1-9E02-AE235F8A0615}"/>
            </a:ext>
          </a:extLst>
        </xdr:cNvPr>
        <xdr:cNvSpPr/>
      </xdr:nvSpPr>
      <xdr:spPr>
        <a:xfrm>
          <a:off x="2438400" y="923925"/>
          <a:ext cx="1476375" cy="314325"/>
        </a:xfrm>
        <a:prstGeom prst="roundRect">
          <a:avLst/>
        </a:prstGeom>
        <a:solidFill>
          <a:srgbClr val="383838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n>
                <a:solidFill>
                  <a:sysClr val="windowText" lastClr="000000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&lt;-</a:t>
          </a:r>
          <a:r>
            <a:rPr lang="pt-BR" sz="1400" b="1" baseline="0">
              <a:ln>
                <a:solidFill>
                  <a:sysClr val="windowText" lastClr="000000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 ANTERIOR</a:t>
          </a:r>
          <a:r>
            <a:rPr lang="pt-BR" sz="1400" b="1">
              <a:ln>
                <a:solidFill>
                  <a:sysClr val="windowText" lastClr="000000"/>
                </a:solidFill>
              </a:ln>
              <a:latin typeface="Segoe UI Black" panose="020B0A02040204020203" pitchFamily="34" charset="0"/>
              <a:ea typeface="Segoe UI Black" panose="020B0A02040204020203" pitchFamily="34" charset="0"/>
            </a:rPr>
            <a:t>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138895-D8CD-44C4-9C1C-B89A9D7F4204}" name="Tabela1" displayName="Tabela1" ref="C8:E23" totalsRowShown="0" headerRowDxfId="4" dataDxfId="0">
  <autoFilter ref="C8:E23" xr:uid="{A2138895-D8CD-44C4-9C1C-B89A9D7F4204}"/>
  <tableColumns count="3">
    <tableColumn id="1" xr3:uid="{C783E12C-EB98-43BA-8C47-D4B1BFDDCA4B}" name="DATA" dataDxfId="3"/>
    <tableColumn id="2" xr3:uid="{BC09E167-5961-4855-980C-29A9E351595D}" name="CATEGORIA" dataDxfId="2"/>
    <tableColumn id="3" xr3:uid="{F3EDD2D6-9B2A-4573-BF96-7743363958E0}" name="VALOR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este@gmail.com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D497-A437-4698-88BB-E286C114E7C3}">
  <dimension ref="A3:F20"/>
  <sheetViews>
    <sheetView showGridLines="0" tabSelected="1" workbookViewId="0">
      <selection activeCell="D11" sqref="D11"/>
    </sheetView>
  </sheetViews>
  <sheetFormatPr defaultRowHeight="15" x14ac:dyDescent="0.25"/>
  <cols>
    <col min="1" max="1" width="27.28515625" style="2" customWidth="1"/>
    <col min="3" max="3" width="48.85546875" bestFit="1" customWidth="1"/>
    <col min="4" max="4" width="50.28515625" customWidth="1"/>
    <col min="6" max="6" width="10.140625" bestFit="1" customWidth="1"/>
  </cols>
  <sheetData>
    <row r="3" spans="3:6" ht="24.75" thickBot="1" x14ac:dyDescent="0.5">
      <c r="C3" s="4" t="s">
        <v>14</v>
      </c>
      <c r="D3" s="3"/>
    </row>
    <row r="4" spans="3:6" ht="15.75" thickTop="1" x14ac:dyDescent="0.25">
      <c r="C4" s="5" t="s">
        <v>15</v>
      </c>
      <c r="D4" s="5"/>
    </row>
    <row r="7" spans="3:6" ht="16.5" x14ac:dyDescent="0.3">
      <c r="C7" s="9" t="s">
        <v>0</v>
      </c>
      <c r="D7" s="17" t="s">
        <v>19</v>
      </c>
    </row>
    <row r="8" spans="3:6" ht="16.5" x14ac:dyDescent="0.3">
      <c r="C8" s="9" t="s">
        <v>1</v>
      </c>
      <c r="D8" s="18">
        <v>12345678900</v>
      </c>
    </row>
    <row r="9" spans="3:6" ht="16.5" x14ac:dyDescent="0.3">
      <c r="C9" s="9" t="s">
        <v>2</v>
      </c>
      <c r="D9" s="19">
        <v>36892</v>
      </c>
      <c r="F9" s="1"/>
    </row>
    <row r="10" spans="3:6" ht="16.5" x14ac:dyDescent="0.3">
      <c r="C10" s="9" t="s">
        <v>3</v>
      </c>
      <c r="D10" s="20">
        <v>123456789</v>
      </c>
    </row>
    <row r="11" spans="3:6" ht="16.5" x14ac:dyDescent="0.3">
      <c r="C11" s="9" t="s">
        <v>4</v>
      </c>
      <c r="D11" s="17" t="s">
        <v>21</v>
      </c>
    </row>
    <row r="12" spans="3:6" ht="16.5" x14ac:dyDescent="0.3">
      <c r="C12" s="9" t="s">
        <v>5</v>
      </c>
      <c r="D12" s="17" t="s">
        <v>20</v>
      </c>
    </row>
    <row r="13" spans="3:6" ht="16.5" x14ac:dyDescent="0.3">
      <c r="C13" s="9" t="s">
        <v>6</v>
      </c>
      <c r="D13" s="17" t="s">
        <v>20</v>
      </c>
    </row>
    <row r="14" spans="3:6" ht="16.5" x14ac:dyDescent="0.3">
      <c r="C14" s="9" t="s">
        <v>7</v>
      </c>
      <c r="D14" s="21">
        <v>12345678</v>
      </c>
    </row>
    <row r="15" spans="3:6" ht="16.5" x14ac:dyDescent="0.3">
      <c r="C15" s="9" t="s">
        <v>8</v>
      </c>
      <c r="D15" s="22">
        <v>2112345678</v>
      </c>
    </row>
    <row r="16" spans="3:6" ht="16.5" x14ac:dyDescent="0.3">
      <c r="C16" s="9" t="s">
        <v>9</v>
      </c>
      <c r="D16" s="23">
        <v>21123456789</v>
      </c>
    </row>
    <row r="17" spans="3:4" ht="16.5" x14ac:dyDescent="0.3">
      <c r="C17" s="9" t="s">
        <v>10</v>
      </c>
      <c r="D17" s="24" t="s">
        <v>18</v>
      </c>
    </row>
    <row r="18" spans="3:4" ht="16.5" x14ac:dyDescent="0.3">
      <c r="C18" s="9" t="s">
        <v>11</v>
      </c>
      <c r="D18" s="17" t="s">
        <v>16</v>
      </c>
    </row>
    <row r="19" spans="3:4" ht="16.5" x14ac:dyDescent="0.3">
      <c r="C19" s="9" t="s">
        <v>12</v>
      </c>
      <c r="D19" s="17" t="s">
        <v>17</v>
      </c>
    </row>
    <row r="20" spans="3:4" ht="16.5" x14ac:dyDescent="0.3">
      <c r="C20" s="9" t="s">
        <v>13</v>
      </c>
      <c r="D20" s="17" t="s">
        <v>17</v>
      </c>
    </row>
  </sheetData>
  <sheetProtection sheet="1" objects="1" scenarios="1" selectLockedCells="1"/>
  <mergeCells count="1">
    <mergeCell ref="C4:D4"/>
  </mergeCells>
  <phoneticPr fontId="5" type="noConversion"/>
  <dataValidations count="1">
    <dataValidation type="list" allowBlank="1" showInputMessage="1" showErrorMessage="1" sqref="D18:D20" xr:uid="{67CAB829-851A-4C03-8A08-06C52F5F5773}">
      <formula1>"Sim,Não"</formula1>
    </dataValidation>
  </dataValidations>
  <hyperlinks>
    <hyperlink ref="D17" r:id="rId1" xr:uid="{5259B67E-201F-4C68-A8B9-8B78466E0ACE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CE93-C22D-48EC-B9C3-28058B02CB0A}">
  <dimension ref="A3:F24"/>
  <sheetViews>
    <sheetView showGridLines="0" workbookViewId="0">
      <selection activeCell="D22" sqref="D22"/>
    </sheetView>
  </sheetViews>
  <sheetFormatPr defaultRowHeight="15" x14ac:dyDescent="0.25"/>
  <cols>
    <col min="1" max="1" width="27.28515625" style="2" customWidth="1"/>
    <col min="3" max="3" width="48.85546875" bestFit="1" customWidth="1"/>
    <col min="4" max="4" width="50.28515625" customWidth="1"/>
    <col min="6" max="6" width="10.140625" bestFit="1" customWidth="1"/>
  </cols>
  <sheetData>
    <row r="3" spans="3:6" ht="24.75" thickBot="1" x14ac:dyDescent="0.5">
      <c r="C3" s="4" t="s">
        <v>22</v>
      </c>
      <c r="D3" s="3"/>
    </row>
    <row r="4" spans="3:6" ht="15.75" thickTop="1" x14ac:dyDescent="0.25">
      <c r="C4" s="5" t="s">
        <v>23</v>
      </c>
      <c r="D4" s="5"/>
    </row>
    <row r="6" spans="3:6" x14ac:dyDescent="0.25">
      <c r="C6" s="8" t="s">
        <v>92</v>
      </c>
    </row>
    <row r="7" spans="3:6" ht="22.5" customHeight="1" x14ac:dyDescent="0.25">
      <c r="C7" s="11">
        <f>SUM(D11,D17,D23)</f>
        <v>1000000</v>
      </c>
      <c r="D7" s="11"/>
    </row>
    <row r="9" spans="3:6" x14ac:dyDescent="0.25">
      <c r="C9" s="10" t="s">
        <v>91</v>
      </c>
    </row>
    <row r="10" spans="3:6" ht="16.5" x14ac:dyDescent="0.3">
      <c r="C10" s="9" t="s">
        <v>26</v>
      </c>
      <c r="D10" s="17" t="s">
        <v>27</v>
      </c>
    </row>
    <row r="11" spans="3:6" ht="16.5" x14ac:dyDescent="0.3">
      <c r="C11" s="9" t="s">
        <v>25</v>
      </c>
      <c r="D11" s="25">
        <v>500000</v>
      </c>
    </row>
    <row r="12" spans="3:6" ht="16.5" x14ac:dyDescent="0.3">
      <c r="C12" s="9" t="s">
        <v>24</v>
      </c>
      <c r="D12" s="17" t="s">
        <v>104</v>
      </c>
    </row>
    <row r="13" spans="3:6" x14ac:dyDescent="0.25">
      <c r="F13" s="1"/>
    </row>
    <row r="15" spans="3:6" x14ac:dyDescent="0.25">
      <c r="C15" s="10" t="s">
        <v>94</v>
      </c>
    </row>
    <row r="16" spans="3:6" ht="16.5" x14ac:dyDescent="0.3">
      <c r="C16" s="9" t="s">
        <v>26</v>
      </c>
      <c r="D16" s="17" t="s">
        <v>33</v>
      </c>
    </row>
    <row r="17" spans="3:4" ht="16.5" x14ac:dyDescent="0.3">
      <c r="C17" s="9" t="s">
        <v>25</v>
      </c>
      <c r="D17" s="25">
        <v>400000</v>
      </c>
    </row>
    <row r="18" spans="3:4" ht="16.5" x14ac:dyDescent="0.3">
      <c r="C18" s="9" t="s">
        <v>24</v>
      </c>
      <c r="D18" s="17" t="s">
        <v>103</v>
      </c>
    </row>
    <row r="21" spans="3:4" x14ac:dyDescent="0.25">
      <c r="C21" s="10" t="s">
        <v>93</v>
      </c>
    </row>
    <row r="22" spans="3:4" ht="16.5" x14ac:dyDescent="0.3">
      <c r="C22" s="9" t="s">
        <v>26</v>
      </c>
      <c r="D22" s="17" t="s">
        <v>61</v>
      </c>
    </row>
    <row r="23" spans="3:4" ht="16.5" x14ac:dyDescent="0.3">
      <c r="C23" s="9" t="s">
        <v>25</v>
      </c>
      <c r="D23" s="25">
        <v>100000</v>
      </c>
    </row>
    <row r="24" spans="3:4" ht="16.5" x14ac:dyDescent="0.3">
      <c r="C24" s="9" t="s">
        <v>24</v>
      </c>
      <c r="D24" s="17" t="s">
        <v>102</v>
      </c>
    </row>
  </sheetData>
  <sheetProtection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promptTitle="Informe um banco" xr:uid="{9123857D-992E-47A4-8B7C-4D8915E113BA}">
          <x14:formula1>
            <xm:f>BANCOS!$A$2:$A$64</xm:f>
          </x14:formula1>
          <xm:sqref>D10 D16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680F-AC0C-4C2A-923F-1109E64490EA}">
  <dimension ref="A3:F23"/>
  <sheetViews>
    <sheetView showGridLines="0" workbookViewId="0">
      <selection activeCell="D14" sqref="D14"/>
    </sheetView>
  </sheetViews>
  <sheetFormatPr defaultRowHeight="15" x14ac:dyDescent="0.25"/>
  <cols>
    <col min="1" max="1" width="27.28515625" style="2" customWidth="1"/>
    <col min="3" max="3" width="31" customWidth="1"/>
    <col min="4" max="4" width="22.42578125" customWidth="1"/>
    <col min="5" max="5" width="24.85546875" customWidth="1"/>
    <col min="6" max="6" width="10.140625" bestFit="1" customWidth="1"/>
  </cols>
  <sheetData>
    <row r="3" spans="3:6" ht="24.75" thickBot="1" x14ac:dyDescent="0.5">
      <c r="C3" s="4" t="s">
        <v>101</v>
      </c>
      <c r="D3" s="3"/>
      <c r="E3" s="3"/>
    </row>
    <row r="4" spans="3:6" ht="15.75" thickTop="1" x14ac:dyDescent="0.25">
      <c r="C4" s="12" t="s">
        <v>95</v>
      </c>
      <c r="D4" s="12"/>
      <c r="E4" s="12"/>
    </row>
    <row r="6" spans="3:6" ht="15.75" thickBot="1" x14ac:dyDescent="0.3"/>
    <row r="7" spans="3:6" ht="17.25" thickBot="1" x14ac:dyDescent="0.35">
      <c r="C7" s="14" t="s">
        <v>99</v>
      </c>
      <c r="D7" s="15"/>
      <c r="E7" s="16"/>
    </row>
    <row r="8" spans="3:6" ht="16.5" x14ac:dyDescent="0.3">
      <c r="C8" s="13" t="s">
        <v>96</v>
      </c>
      <c r="D8" s="13" t="s">
        <v>97</v>
      </c>
      <c r="E8" s="13" t="s">
        <v>98</v>
      </c>
    </row>
    <row r="9" spans="3:6" ht="16.5" x14ac:dyDescent="0.3">
      <c r="C9" s="26" t="s">
        <v>100</v>
      </c>
      <c r="D9" s="29" t="s">
        <v>105</v>
      </c>
      <c r="E9" s="28">
        <v>3000</v>
      </c>
      <c r="F9" s="1"/>
    </row>
    <row r="10" spans="3:6" ht="16.5" x14ac:dyDescent="0.3">
      <c r="C10" s="26"/>
      <c r="D10" s="27"/>
      <c r="E10" s="28"/>
    </row>
    <row r="11" spans="3:6" ht="16.5" x14ac:dyDescent="0.3">
      <c r="C11" s="26"/>
      <c r="D11" s="27"/>
      <c r="E11" s="28"/>
    </row>
    <row r="12" spans="3:6" ht="16.5" x14ac:dyDescent="0.3">
      <c r="C12" s="26"/>
      <c r="D12" s="27"/>
      <c r="E12" s="28"/>
    </row>
    <row r="13" spans="3:6" ht="16.5" x14ac:dyDescent="0.3">
      <c r="C13" s="26"/>
      <c r="D13" s="27"/>
      <c r="E13" s="28"/>
    </row>
    <row r="14" spans="3:6" ht="16.5" x14ac:dyDescent="0.3">
      <c r="C14" s="26"/>
      <c r="D14" s="27"/>
      <c r="E14" s="28"/>
    </row>
    <row r="15" spans="3:6" ht="16.5" x14ac:dyDescent="0.3">
      <c r="C15" s="26"/>
      <c r="D15" s="27"/>
      <c r="E15" s="28"/>
    </row>
    <row r="16" spans="3:6" ht="16.5" x14ac:dyDescent="0.3">
      <c r="C16" s="26"/>
      <c r="D16" s="27"/>
      <c r="E16" s="28"/>
    </row>
    <row r="17" spans="3:5" ht="16.5" x14ac:dyDescent="0.3">
      <c r="C17" s="26"/>
      <c r="D17" s="27"/>
      <c r="E17" s="28"/>
    </row>
    <row r="18" spans="3:5" ht="16.5" x14ac:dyDescent="0.3">
      <c r="C18" s="26"/>
      <c r="D18" s="27"/>
      <c r="E18" s="28"/>
    </row>
    <row r="19" spans="3:5" ht="16.5" x14ac:dyDescent="0.3">
      <c r="C19" s="26"/>
      <c r="D19" s="27"/>
      <c r="E19" s="28"/>
    </row>
    <row r="20" spans="3:5" ht="16.5" x14ac:dyDescent="0.3">
      <c r="C20" s="26"/>
      <c r="D20" s="27"/>
      <c r="E20" s="28"/>
    </row>
    <row r="21" spans="3:5" ht="16.5" x14ac:dyDescent="0.3">
      <c r="C21" s="26"/>
      <c r="D21" s="27"/>
      <c r="E21" s="28"/>
    </row>
    <row r="22" spans="3:5" ht="16.5" x14ac:dyDescent="0.3">
      <c r="C22" s="26"/>
      <c r="D22" s="27"/>
      <c r="E22" s="28"/>
    </row>
    <row r="23" spans="3:5" ht="16.5" x14ac:dyDescent="0.3">
      <c r="C23" s="26"/>
      <c r="D23" s="27"/>
      <c r="E23" s="28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3" xr:uid="{A805FF00-5306-40DF-B77C-C95C40960C21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86D2-22B1-42F4-BEDE-CE6F363DC3A9}">
  <dimension ref="A1:A64"/>
  <sheetViews>
    <sheetView workbookViewId="0">
      <selection activeCell="A2" sqref="A2"/>
    </sheetView>
  </sheetViews>
  <sheetFormatPr defaultRowHeight="15" x14ac:dyDescent="0.25"/>
  <cols>
    <col min="1" max="1" width="52.85546875" bestFit="1" customWidth="1"/>
  </cols>
  <sheetData>
    <row r="1" spans="1:1" x14ac:dyDescent="0.25">
      <c r="A1" s="6" t="s">
        <v>90</v>
      </c>
    </row>
    <row r="2" spans="1:1" x14ac:dyDescent="0.25">
      <c r="A2" s="7" t="s">
        <v>27</v>
      </c>
    </row>
    <row r="3" spans="1:1" x14ac:dyDescent="0.25">
      <c r="A3" s="7" t="s">
        <v>28</v>
      </c>
    </row>
    <row r="4" spans="1:1" x14ac:dyDescent="0.25">
      <c r="A4" s="7" t="s">
        <v>29</v>
      </c>
    </row>
    <row r="5" spans="1:1" x14ac:dyDescent="0.25">
      <c r="A5" s="7" t="s">
        <v>30</v>
      </c>
    </row>
    <row r="6" spans="1:1" x14ac:dyDescent="0.25">
      <c r="A6" s="7" t="s">
        <v>31</v>
      </c>
    </row>
    <row r="7" spans="1:1" x14ac:dyDescent="0.25">
      <c r="A7" s="7" t="s">
        <v>32</v>
      </c>
    </row>
    <row r="8" spans="1:1" x14ac:dyDescent="0.25">
      <c r="A8" s="7" t="s">
        <v>33</v>
      </c>
    </row>
    <row r="9" spans="1:1" x14ac:dyDescent="0.25">
      <c r="A9" s="7" t="s">
        <v>34</v>
      </c>
    </row>
    <row r="10" spans="1:1" x14ac:dyDescent="0.25">
      <c r="A10" s="7" t="s">
        <v>35</v>
      </c>
    </row>
    <row r="11" spans="1:1" x14ac:dyDescent="0.25">
      <c r="A11" s="7" t="s">
        <v>36</v>
      </c>
    </row>
    <row r="12" spans="1:1" x14ac:dyDescent="0.25">
      <c r="A12" s="7" t="s">
        <v>37</v>
      </c>
    </row>
    <row r="13" spans="1:1" x14ac:dyDescent="0.25">
      <c r="A13" s="7" t="s">
        <v>38</v>
      </c>
    </row>
    <row r="14" spans="1:1" x14ac:dyDescent="0.25">
      <c r="A14" s="7" t="s">
        <v>39</v>
      </c>
    </row>
    <row r="15" spans="1:1" x14ac:dyDescent="0.25">
      <c r="A15" s="7" t="s">
        <v>40</v>
      </c>
    </row>
    <row r="16" spans="1:1" x14ac:dyDescent="0.25">
      <c r="A16" s="7" t="s">
        <v>41</v>
      </c>
    </row>
    <row r="17" spans="1:1" x14ac:dyDescent="0.25">
      <c r="A17" s="7" t="s">
        <v>42</v>
      </c>
    </row>
    <row r="18" spans="1:1" x14ac:dyDescent="0.25">
      <c r="A18" s="7" t="s">
        <v>43</v>
      </c>
    </row>
    <row r="19" spans="1:1" x14ac:dyDescent="0.25">
      <c r="A19" s="7" t="s">
        <v>44</v>
      </c>
    </row>
    <row r="20" spans="1:1" x14ac:dyDescent="0.25">
      <c r="A20" s="7" t="s">
        <v>45</v>
      </c>
    </row>
    <row r="21" spans="1:1" x14ac:dyDescent="0.25">
      <c r="A21" s="7" t="s">
        <v>46</v>
      </c>
    </row>
    <row r="22" spans="1:1" x14ac:dyDescent="0.25">
      <c r="A22" s="7" t="s">
        <v>47</v>
      </c>
    </row>
    <row r="23" spans="1:1" x14ac:dyDescent="0.25">
      <c r="A23" s="7" t="s">
        <v>48</v>
      </c>
    </row>
    <row r="24" spans="1:1" x14ac:dyDescent="0.25">
      <c r="A24" s="7" t="s">
        <v>49</v>
      </c>
    </row>
    <row r="25" spans="1:1" x14ac:dyDescent="0.25">
      <c r="A25" s="7" t="s">
        <v>50</v>
      </c>
    </row>
    <row r="26" spans="1:1" x14ac:dyDescent="0.25">
      <c r="A26" s="7" t="s">
        <v>51</v>
      </c>
    </row>
    <row r="27" spans="1:1" x14ac:dyDescent="0.25">
      <c r="A27" s="7" t="s">
        <v>52</v>
      </c>
    </row>
    <row r="28" spans="1:1" x14ac:dyDescent="0.25">
      <c r="A28" s="7" t="s">
        <v>53</v>
      </c>
    </row>
    <row r="29" spans="1:1" x14ac:dyDescent="0.25">
      <c r="A29" s="7" t="s">
        <v>54</v>
      </c>
    </row>
    <row r="30" spans="1:1" x14ac:dyDescent="0.25">
      <c r="A30" s="7" t="s">
        <v>55</v>
      </c>
    </row>
    <row r="31" spans="1:1" x14ac:dyDescent="0.25">
      <c r="A31" s="7" t="s">
        <v>56</v>
      </c>
    </row>
    <row r="32" spans="1:1" x14ac:dyDescent="0.25">
      <c r="A32" s="7" t="s">
        <v>57</v>
      </c>
    </row>
    <row r="33" spans="1:1" x14ac:dyDescent="0.25">
      <c r="A33" s="7" t="s">
        <v>58</v>
      </c>
    </row>
    <row r="34" spans="1:1" x14ac:dyDescent="0.25">
      <c r="A34" s="7" t="s">
        <v>59</v>
      </c>
    </row>
    <row r="35" spans="1:1" x14ac:dyDescent="0.25">
      <c r="A35" s="7" t="s">
        <v>60</v>
      </c>
    </row>
    <row r="36" spans="1:1" x14ac:dyDescent="0.25">
      <c r="A36" s="7" t="s">
        <v>61</v>
      </c>
    </row>
    <row r="37" spans="1:1" x14ac:dyDescent="0.25">
      <c r="A37" s="7" t="s">
        <v>62</v>
      </c>
    </row>
    <row r="38" spans="1:1" x14ac:dyDescent="0.25">
      <c r="A38" s="7" t="s">
        <v>63</v>
      </c>
    </row>
    <row r="39" spans="1:1" x14ac:dyDescent="0.25">
      <c r="A39" s="7" t="s">
        <v>64</v>
      </c>
    </row>
    <row r="40" spans="1:1" x14ac:dyDescent="0.25">
      <c r="A40" s="7" t="s">
        <v>65</v>
      </c>
    </row>
    <row r="41" spans="1:1" x14ac:dyDescent="0.25">
      <c r="A41" s="7" t="s">
        <v>66</v>
      </c>
    </row>
    <row r="42" spans="1:1" x14ac:dyDescent="0.25">
      <c r="A42" s="7" t="s">
        <v>67</v>
      </c>
    </row>
    <row r="43" spans="1:1" x14ac:dyDescent="0.25">
      <c r="A43" s="7" t="s">
        <v>68</v>
      </c>
    </row>
    <row r="44" spans="1:1" x14ac:dyDescent="0.25">
      <c r="A44" s="7" t="s">
        <v>69</v>
      </c>
    </row>
    <row r="45" spans="1:1" x14ac:dyDescent="0.25">
      <c r="A45" s="7" t="s">
        <v>70</v>
      </c>
    </row>
    <row r="46" spans="1:1" x14ac:dyDescent="0.25">
      <c r="A46" s="7" t="s">
        <v>71</v>
      </c>
    </row>
    <row r="47" spans="1:1" x14ac:dyDescent="0.25">
      <c r="A47" s="7" t="s">
        <v>72</v>
      </c>
    </row>
    <row r="48" spans="1:1" x14ac:dyDescent="0.25">
      <c r="A48" s="7" t="s">
        <v>73</v>
      </c>
    </row>
    <row r="49" spans="1:1" x14ac:dyDescent="0.25">
      <c r="A49" s="7" t="s">
        <v>74</v>
      </c>
    </row>
    <row r="50" spans="1:1" x14ac:dyDescent="0.25">
      <c r="A50" s="7" t="s">
        <v>75</v>
      </c>
    </row>
    <row r="51" spans="1:1" x14ac:dyDescent="0.25">
      <c r="A51" s="7" t="s">
        <v>76</v>
      </c>
    </row>
    <row r="52" spans="1:1" x14ac:dyDescent="0.25">
      <c r="A52" s="7" t="s">
        <v>77</v>
      </c>
    </row>
    <row r="53" spans="1:1" x14ac:dyDescent="0.25">
      <c r="A53" s="7" t="s">
        <v>78</v>
      </c>
    </row>
    <row r="54" spans="1:1" x14ac:dyDescent="0.25">
      <c r="A54" s="7" t="s">
        <v>79</v>
      </c>
    </row>
    <row r="55" spans="1:1" x14ac:dyDescent="0.25">
      <c r="A55" s="7" t="s">
        <v>80</v>
      </c>
    </row>
    <row r="56" spans="1:1" x14ac:dyDescent="0.25">
      <c r="A56" s="7" t="s">
        <v>81</v>
      </c>
    </row>
    <row r="57" spans="1:1" x14ac:dyDescent="0.25">
      <c r="A57" s="7" t="s">
        <v>82</v>
      </c>
    </row>
    <row r="58" spans="1:1" x14ac:dyDescent="0.25">
      <c r="A58" s="7" t="s">
        <v>83</v>
      </c>
    </row>
    <row r="59" spans="1:1" x14ac:dyDescent="0.25">
      <c r="A59" s="7" t="s">
        <v>84</v>
      </c>
    </row>
    <row r="60" spans="1:1" x14ac:dyDescent="0.25">
      <c r="A60" s="7" t="s">
        <v>85</v>
      </c>
    </row>
    <row r="61" spans="1:1" x14ac:dyDescent="0.25">
      <c r="A61" s="7" t="s">
        <v>86</v>
      </c>
    </row>
    <row r="62" spans="1:1" x14ac:dyDescent="0.25">
      <c r="A62" s="7" t="s">
        <v>87</v>
      </c>
    </row>
    <row r="63" spans="1:1" x14ac:dyDescent="0.25">
      <c r="A63" s="7" t="s">
        <v>88</v>
      </c>
    </row>
    <row r="64" spans="1:1" x14ac:dyDescent="0.25">
      <c r="A64" s="7" t="s">
        <v>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Fernandes</dc:creator>
  <cp:lastModifiedBy>Raphael Fernandes</cp:lastModifiedBy>
  <dcterms:created xsi:type="dcterms:W3CDTF">2026-10-13T13:04:17Z</dcterms:created>
  <dcterms:modified xsi:type="dcterms:W3CDTF">2026-10-13T14:59:34Z</dcterms:modified>
</cp:coreProperties>
</file>